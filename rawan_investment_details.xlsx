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Money Loan 2026\Rawan\"/>
    </mc:Choice>
  </mc:AlternateContent>
  <xr:revisionPtr revIDLastSave="0" documentId="13_ncr:1_{11927F90-FC2F-4019-A270-ABE2BADD6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ستثمار روان" sheetId="1" r:id="rId1"/>
    <sheet name="التفاصيل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2" i="2" l="1"/>
  <c r="C152" i="2"/>
  <c r="C156" i="2" s="1"/>
  <c r="G33" i="1"/>
  <c r="G8" i="2"/>
  <c r="C133" i="2"/>
  <c r="C136" i="2" s="1"/>
  <c r="D133" i="2"/>
  <c r="D113" i="2"/>
  <c r="C113" i="2"/>
  <c r="C117" i="2" s="1"/>
  <c r="C118" i="2" s="1"/>
  <c r="C115" i="2"/>
  <c r="E33" i="1"/>
  <c r="C93" i="2"/>
  <c r="C95" i="2"/>
  <c r="C97" i="2"/>
  <c r="C98" i="2"/>
  <c r="D93" i="2"/>
  <c r="C104" i="2" s="1"/>
  <c r="D72" i="2"/>
  <c r="C72" i="2"/>
  <c r="C76" i="2" s="1"/>
  <c r="C74" i="2"/>
  <c r="C49" i="2"/>
  <c r="C53" i="2" s="1"/>
  <c r="C51" i="2"/>
  <c r="D49" i="2"/>
  <c r="C8" i="2"/>
  <c r="C10" i="2" s="1"/>
  <c r="D8" i="2"/>
  <c r="C28" i="2"/>
  <c r="C31" i="2"/>
  <c r="C32" i="2"/>
  <c r="C33" i="2"/>
  <c r="C30" i="2"/>
  <c r="D28" i="2"/>
  <c r="C12" i="2" l="1"/>
  <c r="C11" i="2"/>
  <c r="C52" i="2"/>
  <c r="C54" i="2" s="1"/>
  <c r="C75" i="2"/>
  <c r="C77" i="2"/>
  <c r="C13" i="2"/>
  <c r="C137" i="2"/>
  <c r="C135" i="2"/>
  <c r="C154" i="2"/>
  <c r="C155" i="2"/>
  <c r="C157" i="2" s="1"/>
  <c r="C138" i="2"/>
</calcChain>
</file>

<file path=xl/sharedStrings.xml><?xml version="1.0" encoding="utf-8"?>
<sst xmlns="http://schemas.openxmlformats.org/spreadsheetml/2006/main" count="167" uniqueCount="74">
  <si>
    <t>Description</t>
  </si>
  <si>
    <t>Investment #1 - 7000 SR</t>
  </si>
  <si>
    <t>Comemnts</t>
  </si>
  <si>
    <t>استثمار حسين - 3 July 2025</t>
  </si>
  <si>
    <t>النسبة من ساب</t>
  </si>
  <si>
    <t>الربح المتوقع من ساب كامل</t>
  </si>
  <si>
    <t>الربح المتوقع لروان - 7000 ريال</t>
  </si>
  <si>
    <t>النسبة الحقيقية</t>
  </si>
  <si>
    <t>الجمع للتأكيد</t>
  </si>
  <si>
    <t>الربح المتوقع لروان - 1000 ريال</t>
  </si>
  <si>
    <t>للتأكيد</t>
  </si>
  <si>
    <t>Investment #2 - 1000 SR</t>
  </si>
  <si>
    <t>استثمار حسين - 3 August 2025</t>
  </si>
  <si>
    <t>الربح المتوقع لحسين  - 146000  ريال</t>
  </si>
  <si>
    <t>الربح المتوقع لحسين  - 63000 ريال</t>
  </si>
  <si>
    <t>Done</t>
  </si>
  <si>
    <t>Investment #3 - 5000 SR</t>
  </si>
  <si>
    <t>استثمار حسين - 6 December 2025</t>
  </si>
  <si>
    <t>الربح المتوقع لروان - 5000 ريال</t>
  </si>
  <si>
    <t>الربح المتوقع لحسين  - 22000  ريال</t>
  </si>
  <si>
    <t>ربح استثمار 5000 ريال - من 6 ديسمبرالى 5 يناير</t>
  </si>
  <si>
    <t>ربح 6000 ريال - ٢ فبراير ٢٠٢٦</t>
  </si>
  <si>
    <t>Investment #4 - 6000 SR</t>
  </si>
  <si>
    <t>الربح المتوقع لروان - 6000 ريال</t>
  </si>
  <si>
    <t>الربح المتوقع لحسين  - 205000  ريال</t>
  </si>
  <si>
    <t>Investment #5 - 7000 SR</t>
  </si>
  <si>
    <t>Feb 6 2026</t>
  </si>
  <si>
    <t>الربح المتوقع لحسين  - 243000  ريال</t>
  </si>
  <si>
    <t>ربح  7000 ريال - ٩ مارس ٢٠٢٦</t>
  </si>
  <si>
    <t>March 9 2026</t>
  </si>
  <si>
    <t>الربح المتوقع لحسين  - 252000  ريال</t>
  </si>
  <si>
    <t>الربح المتوقع لروان 8000 ريال</t>
  </si>
  <si>
    <t>بناء على طلب روان - سحب ٥٠٠٠ ريال للسفر</t>
  </si>
  <si>
    <t>تحويل من روان إلى حسين</t>
  </si>
  <si>
    <t>ربح  8000 ريال - 31 مارس ٢٠٢٦</t>
  </si>
  <si>
    <t>May 1 2026</t>
  </si>
  <si>
    <t>الربح المتوقع لحسين  - 941000  ريال</t>
  </si>
  <si>
    <t>الربح المتوقع لروان 9000 ريال</t>
  </si>
  <si>
    <t>xxxx% - 3 months</t>
  </si>
  <si>
    <t>التاريخ</t>
  </si>
  <si>
    <t>الوصف</t>
  </si>
  <si>
    <t>المبلغ</t>
  </si>
  <si>
    <t>ملاحظات</t>
  </si>
  <si>
    <t>مدة الإستثمار</t>
  </si>
  <si>
    <t>3 شهور</t>
  </si>
  <si>
    <t>شهر واحد</t>
  </si>
  <si>
    <t>تحويل</t>
  </si>
  <si>
    <t>ربح</t>
  </si>
  <si>
    <t>الربح</t>
  </si>
  <si>
    <t>النسبة</t>
  </si>
  <si>
    <t>المبلغ في الحساب</t>
  </si>
  <si>
    <t>مبلغ الإستثمار</t>
  </si>
  <si>
    <t>مبلغ الربح</t>
  </si>
  <si>
    <t>سحب</t>
  </si>
  <si>
    <t>مجموع المبلغ في الرصيد</t>
  </si>
  <si>
    <t>مجموع الأرباح</t>
  </si>
  <si>
    <t>نسبة الربح</t>
  </si>
  <si>
    <t>تم إلغاء الإستثمار - بناء على طلب روان</t>
  </si>
  <si>
    <t>الحالة</t>
  </si>
  <si>
    <t>استثمارات روان والتوفير</t>
  </si>
  <si>
    <t>ربح استثمار 7000 ريال - من 3 جولاي الى 5 أكتوبر 2025</t>
  </si>
  <si>
    <t>ربح استثمار 1000 ريال - من 3 أغسطس الى 3 سبتمبر 2025</t>
  </si>
  <si>
    <t>استثمار 9000 ريال - من 3 أكتوبر 2025</t>
  </si>
  <si>
    <t>إلغاء إستثمار 9000 ريال - 5 أكتوبر</t>
  </si>
  <si>
    <t>ربح 9000 ريال - 1 مايو ٢٠٢٦</t>
  </si>
  <si>
    <t>استثمار 23600 ريال - 3 أغسطس ٢٠٢٦</t>
  </si>
  <si>
    <t>August 3 2026</t>
  </si>
  <si>
    <t>الربح المتوقع لروان 23600 ريال</t>
  </si>
  <si>
    <t>الربح المتوقع لحسين  - 926400  ريال</t>
  </si>
  <si>
    <t>Investment #6 - 8000 SR</t>
  </si>
  <si>
    <t>Investment #7 - 9000 SR</t>
  </si>
  <si>
    <t>Investment #8 - 23600 SR</t>
  </si>
  <si>
    <t>In Progress</t>
  </si>
  <si>
    <t>الغاء استثمار 23600 ريال - 24 أغسطس 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</si>
</sst>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[$SAR]\ #,##0.00"/>
    <numFmt numFmtId="166" formatCode="0.000%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4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rightToLeft="1" tabSelected="1" topLeftCell="A9" zoomScale="70" zoomScaleNormal="70" workbookViewId="0">
      <selection activeCell="B30" sqref="B30"/>
    </sheetView>
  </sheetViews>
  <sheetFormatPr defaultColWidth="9.109375" defaultRowHeight="25.8" x14ac:dyDescent="0.3"/>
  <cols>
    <col min="1" max="1" width="29.109375" style="22" customWidth="1"/>
    <col min="2" max="2" width="75.6640625" style="16" bestFit="1" customWidth="1"/>
    <col min="3" max="3" width="18.109375" style="16" bestFit="1" customWidth="1"/>
    <col min="4" max="4" width="18.88671875" style="16" bestFit="1" customWidth="1"/>
    <col min="5" max="5" width="30.77734375" style="16" bestFit="1" customWidth="1"/>
    <col min="6" max="6" width="14.5546875" style="16" bestFit="1" customWidth="1"/>
    <col min="7" max="7" width="18.44140625" style="16" bestFit="1" customWidth="1"/>
    <col min="8" max="8" width="20.21875" style="16" bestFit="1" customWidth="1"/>
    <col min="9" max="9" width="48.33203125" style="16" bestFit="1" customWidth="1"/>
    <col min="10" max="16384" width="9.109375" style="16"/>
  </cols>
  <sheetData>
    <row r="1" spans="1:9" ht="51.6" x14ac:dyDescent="0.3">
      <c r="A1" s="31" t="s">
        <v>59</v>
      </c>
      <c r="B1" s="31"/>
      <c r="C1" s="31"/>
      <c r="D1" s="31"/>
      <c r="E1" s="31"/>
      <c r="F1" s="31"/>
      <c r="G1" s="31"/>
      <c r="H1" s="31"/>
      <c r="I1" s="31"/>
    </row>
    <row r="4" spans="1:9" x14ac:dyDescent="0.3">
      <c r="A4" s="17" t="s">
        <v>39</v>
      </c>
      <c r="B4" s="18" t="s">
        <v>40</v>
      </c>
      <c r="C4" s="18" t="s">
        <v>58</v>
      </c>
      <c r="D4" s="18" t="s">
        <v>51</v>
      </c>
      <c r="E4" s="18" t="s">
        <v>50</v>
      </c>
      <c r="F4" s="18" t="s">
        <v>56</v>
      </c>
      <c r="G4" s="18" t="s">
        <v>52</v>
      </c>
      <c r="H4" s="18" t="s">
        <v>43</v>
      </c>
      <c r="I4" s="18" t="s">
        <v>42</v>
      </c>
    </row>
    <row r="5" spans="1:9" x14ac:dyDescent="0.3">
      <c r="A5" s="17">
        <v>45816</v>
      </c>
      <c r="B5" s="18" t="s">
        <v>33</v>
      </c>
      <c r="C5" s="18" t="s">
        <v>46</v>
      </c>
      <c r="D5" s="18"/>
      <c r="E5" s="18">
        <v>2000</v>
      </c>
      <c r="F5" s="19"/>
      <c r="G5" s="18"/>
      <c r="H5" s="18"/>
      <c r="I5" s="18"/>
    </row>
    <row r="6" spans="1:9" x14ac:dyDescent="0.3">
      <c r="A6" s="17">
        <v>45816</v>
      </c>
      <c r="B6" s="18" t="s">
        <v>33</v>
      </c>
      <c r="C6" s="18" t="s">
        <v>46</v>
      </c>
      <c r="D6" s="18"/>
      <c r="E6" s="18">
        <v>4000</v>
      </c>
      <c r="F6" s="19"/>
      <c r="G6" s="18"/>
      <c r="H6" s="18"/>
      <c r="I6" s="18"/>
    </row>
    <row r="7" spans="1:9" x14ac:dyDescent="0.3">
      <c r="A7" s="17">
        <v>45841</v>
      </c>
      <c r="B7" s="18" t="s">
        <v>33</v>
      </c>
      <c r="C7" s="18" t="s">
        <v>46</v>
      </c>
      <c r="D7" s="18"/>
      <c r="E7" s="18">
        <v>1000</v>
      </c>
      <c r="F7" s="19"/>
      <c r="G7" s="18"/>
      <c r="H7" s="18"/>
      <c r="I7" s="18"/>
    </row>
    <row r="8" spans="1:9" x14ac:dyDescent="0.3">
      <c r="A8" s="17">
        <v>45935</v>
      </c>
      <c r="B8" s="18" t="s">
        <v>60</v>
      </c>
      <c r="C8" s="18" t="s">
        <v>47</v>
      </c>
      <c r="D8" s="18">
        <v>7000</v>
      </c>
      <c r="E8" s="18"/>
      <c r="F8" s="21">
        <v>1.1299999999999999E-2</v>
      </c>
      <c r="G8" s="20">
        <v>87.96</v>
      </c>
      <c r="H8" s="20" t="s">
        <v>44</v>
      </c>
      <c r="I8" s="18"/>
    </row>
    <row r="9" spans="1:9" x14ac:dyDescent="0.3">
      <c r="A9" s="17">
        <v>45872</v>
      </c>
      <c r="B9" s="18" t="s">
        <v>33</v>
      </c>
      <c r="C9" s="18" t="s">
        <v>46</v>
      </c>
      <c r="D9" s="18"/>
      <c r="E9" s="18">
        <v>1000</v>
      </c>
      <c r="F9" s="19"/>
      <c r="G9" s="18"/>
      <c r="H9" s="18"/>
      <c r="I9" s="18"/>
    </row>
    <row r="10" spans="1:9" x14ac:dyDescent="0.3">
      <c r="A10" s="17">
        <v>45872</v>
      </c>
      <c r="B10" s="18" t="s">
        <v>61</v>
      </c>
      <c r="C10" s="18" t="s">
        <v>47</v>
      </c>
      <c r="D10" s="18">
        <v>1000</v>
      </c>
      <c r="E10" s="18"/>
      <c r="F10" s="21">
        <v>3.46E-3</v>
      </c>
      <c r="G10" s="20">
        <v>3.46</v>
      </c>
      <c r="H10" s="20" t="s">
        <v>45</v>
      </c>
      <c r="I10" s="18"/>
    </row>
    <row r="11" spans="1:9" x14ac:dyDescent="0.3">
      <c r="A11" s="17">
        <v>45932</v>
      </c>
      <c r="B11" s="18" t="s">
        <v>33</v>
      </c>
      <c r="C11" s="18" t="s">
        <v>46</v>
      </c>
      <c r="D11" s="18"/>
      <c r="E11" s="18">
        <v>1000</v>
      </c>
      <c r="F11" s="19"/>
      <c r="G11" s="18"/>
      <c r="H11" s="18"/>
      <c r="I11" s="18"/>
    </row>
    <row r="12" spans="1:9" x14ac:dyDescent="0.3">
      <c r="A12" s="26">
        <v>45933</v>
      </c>
      <c r="B12" s="27" t="s">
        <v>62</v>
      </c>
      <c r="C12" s="27"/>
      <c r="D12" s="27"/>
      <c r="E12" s="27"/>
      <c r="F12" s="28"/>
      <c r="G12" s="27"/>
      <c r="H12" s="27"/>
      <c r="I12" s="27" t="s">
        <v>57</v>
      </c>
    </row>
    <row r="13" spans="1:9" x14ac:dyDescent="0.3">
      <c r="A13" s="26">
        <v>45935</v>
      </c>
      <c r="B13" s="27" t="s">
        <v>63</v>
      </c>
      <c r="C13" s="27"/>
      <c r="D13" s="27"/>
      <c r="E13" s="27"/>
      <c r="F13" s="28"/>
      <c r="G13" s="27"/>
      <c r="H13" s="27"/>
      <c r="I13" s="27" t="s">
        <v>57</v>
      </c>
    </row>
    <row r="14" spans="1:9" x14ac:dyDescent="0.3">
      <c r="A14" s="17">
        <v>45937</v>
      </c>
      <c r="B14" s="18" t="s">
        <v>32</v>
      </c>
      <c r="C14" s="18" t="s">
        <v>53</v>
      </c>
      <c r="D14" s="18"/>
      <c r="E14" s="18">
        <v>-5000</v>
      </c>
      <c r="F14" s="19"/>
      <c r="G14" s="18"/>
      <c r="H14" s="18"/>
      <c r="I14" s="18"/>
    </row>
    <row r="15" spans="1:9" x14ac:dyDescent="0.3">
      <c r="A15" s="17">
        <v>45994</v>
      </c>
      <c r="B15" s="18" t="s">
        <v>33</v>
      </c>
      <c r="C15" s="18" t="s">
        <v>46</v>
      </c>
      <c r="D15" s="18"/>
      <c r="E15" s="18">
        <v>1000</v>
      </c>
      <c r="F15" s="19"/>
      <c r="G15" s="18"/>
      <c r="H15" s="18"/>
      <c r="I15" s="18"/>
    </row>
    <row r="16" spans="1:9" x14ac:dyDescent="0.3">
      <c r="A16" s="17">
        <v>46027</v>
      </c>
      <c r="B16" s="18" t="s">
        <v>20</v>
      </c>
      <c r="C16" s="18" t="s">
        <v>47</v>
      </c>
      <c r="D16" s="18">
        <v>5000</v>
      </c>
      <c r="E16" s="18"/>
      <c r="F16" s="21">
        <v>3.2699999999999999E-3</v>
      </c>
      <c r="G16" s="20">
        <v>16.36</v>
      </c>
      <c r="H16" s="20" t="s">
        <v>45</v>
      </c>
      <c r="I16" s="18"/>
    </row>
    <row r="17" spans="1:9" x14ac:dyDescent="0.3">
      <c r="A17" s="17">
        <v>46023</v>
      </c>
      <c r="B17" s="18" t="s">
        <v>33</v>
      </c>
      <c r="C17" s="18" t="s">
        <v>46</v>
      </c>
      <c r="D17" s="18"/>
      <c r="E17" s="18">
        <v>1000</v>
      </c>
      <c r="F17" s="19"/>
      <c r="G17" s="18"/>
      <c r="H17" s="18"/>
      <c r="I17" s="18"/>
    </row>
    <row r="18" spans="1:9" x14ac:dyDescent="0.3">
      <c r="A18" s="17">
        <v>46027</v>
      </c>
      <c r="B18" s="18" t="s">
        <v>21</v>
      </c>
      <c r="C18" s="18" t="s">
        <v>47</v>
      </c>
      <c r="D18" s="18">
        <v>6000</v>
      </c>
      <c r="E18" s="18"/>
      <c r="F18" s="21">
        <v>3.2699999999999999E-3</v>
      </c>
      <c r="G18" s="20">
        <v>19.63</v>
      </c>
      <c r="H18" s="20" t="s">
        <v>45</v>
      </c>
      <c r="I18" s="18"/>
    </row>
    <row r="19" spans="1:9" x14ac:dyDescent="0.3">
      <c r="A19" s="17">
        <v>46054</v>
      </c>
      <c r="B19" s="18" t="s">
        <v>33</v>
      </c>
      <c r="C19" s="18" t="s">
        <v>46</v>
      </c>
      <c r="D19" s="18"/>
      <c r="E19" s="18">
        <v>1000</v>
      </c>
      <c r="F19" s="19"/>
      <c r="G19" s="18"/>
      <c r="H19" s="18"/>
      <c r="I19" s="18"/>
    </row>
    <row r="20" spans="1:9" x14ac:dyDescent="0.3">
      <c r="A20" s="17">
        <v>46082</v>
      </c>
      <c r="B20" s="18" t="s">
        <v>33</v>
      </c>
      <c r="C20" s="18" t="s">
        <v>46</v>
      </c>
      <c r="D20" s="18"/>
      <c r="E20" s="18">
        <v>1000</v>
      </c>
      <c r="F20" s="19"/>
      <c r="G20" s="18"/>
      <c r="H20" s="18"/>
      <c r="I20" s="18"/>
    </row>
    <row r="21" spans="1:9" x14ac:dyDescent="0.3">
      <c r="A21" s="17">
        <v>46090</v>
      </c>
      <c r="B21" s="18" t="s">
        <v>28</v>
      </c>
      <c r="C21" s="18" t="s">
        <v>47</v>
      </c>
      <c r="D21" s="18">
        <v>7000</v>
      </c>
      <c r="E21" s="18"/>
      <c r="F21" s="21">
        <v>2.9499999999999999E-3</v>
      </c>
      <c r="G21" s="20">
        <v>20.69</v>
      </c>
      <c r="H21" s="20" t="s">
        <v>45</v>
      </c>
      <c r="I21" s="18"/>
    </row>
    <row r="22" spans="1:9" x14ac:dyDescent="0.3">
      <c r="A22" s="17">
        <v>46112</v>
      </c>
      <c r="B22" s="18" t="s">
        <v>33</v>
      </c>
      <c r="C22" s="18" t="s">
        <v>46</v>
      </c>
      <c r="D22" s="18"/>
      <c r="E22" s="18">
        <v>1000</v>
      </c>
      <c r="F22" s="19"/>
      <c r="G22" s="18"/>
      <c r="H22" s="18"/>
      <c r="I22" s="18"/>
    </row>
    <row r="23" spans="1:9" x14ac:dyDescent="0.3">
      <c r="A23" s="17"/>
      <c r="B23" s="18" t="s">
        <v>34</v>
      </c>
      <c r="C23" s="18" t="s">
        <v>47</v>
      </c>
      <c r="D23" s="18">
        <v>8000</v>
      </c>
      <c r="E23" s="18"/>
      <c r="F23" s="21">
        <v>3.48E-3</v>
      </c>
      <c r="G23" s="20">
        <v>27.87</v>
      </c>
      <c r="H23" s="20" t="s">
        <v>45</v>
      </c>
      <c r="I23" s="18"/>
    </row>
    <row r="24" spans="1:9" x14ac:dyDescent="0.3">
      <c r="A24" s="17">
        <v>46160</v>
      </c>
      <c r="B24" s="18" t="s">
        <v>33</v>
      </c>
      <c r="C24" s="18" t="s">
        <v>46</v>
      </c>
      <c r="D24" s="18"/>
      <c r="E24" s="18">
        <v>14600</v>
      </c>
      <c r="F24" s="19"/>
      <c r="G24" s="18"/>
      <c r="H24" s="18"/>
      <c r="I24" s="18"/>
    </row>
    <row r="25" spans="1:9" x14ac:dyDescent="0.3">
      <c r="A25" s="17">
        <v>46143</v>
      </c>
      <c r="B25" s="18" t="s">
        <v>64</v>
      </c>
      <c r="C25" s="18" t="s">
        <v>47</v>
      </c>
      <c r="D25" s="18">
        <v>9000</v>
      </c>
      <c r="E25" s="18"/>
      <c r="F25" s="21">
        <v>9.5577789473684192E-3</v>
      </c>
      <c r="G25" s="20">
        <v>86.02</v>
      </c>
      <c r="H25" s="20" t="s">
        <v>44</v>
      </c>
      <c r="I25" s="18"/>
    </row>
    <row r="26" spans="1:9" x14ac:dyDescent="0.3">
      <c r="A26" s="26">
        <v>46237</v>
      </c>
      <c r="B26" s="27" t="s">
        <v>65</v>
      </c>
      <c r="C26" s="27"/>
      <c r="D26" s="27"/>
      <c r="E26" s="27"/>
      <c r="F26" s="28"/>
      <c r="G26" s="27"/>
      <c r="H26" s="27" t="s">
        <v>44</v>
      </c>
      <c r="I26" s="27" t="s">
        <v>57</v>
      </c>
    </row>
    <row r="27" spans="1:9" x14ac:dyDescent="0.3">
      <c r="A27" s="26">
        <v>46258</v>
      </c>
      <c r="B27" s="27" t="s">
        <v>73</v>
      </c>
      <c r="C27" s="27"/>
      <c r="D27" s="27"/>
      <c r="E27" s="27"/>
      <c r="F27" s="28"/>
      <c r="G27" s="27"/>
      <c r="H27" s="27" t="s">
        <v>44</v>
      </c>
      <c r="I27" s="27" t="s">
        <v>57</v>
      </c>
    </row>
    <row r="28" spans="1:9" x14ac:dyDescent="0.3">
      <c r="A28" s="17"/>
      <c r="B28" s="18"/>
      <c r="C28" s="18"/>
      <c r="D28" s="18"/>
      <c r="E28" s="18"/>
      <c r="F28" s="19"/>
      <c r="G28" s="18"/>
      <c r="H28" s="18"/>
      <c r="I28" s="18"/>
    </row>
    <row r="29" spans="1:9" x14ac:dyDescent="0.3">
      <c r="A29" s="17"/>
      <c r="B29" s="18"/>
      <c r="C29" s="18"/>
      <c r="D29" s="18"/>
      <c r="E29" s="18"/>
      <c r="F29" s="19"/>
      <c r="G29" s="18"/>
      <c r="H29" s="18"/>
      <c r="I29" s="18"/>
    </row>
    <row r="30" spans="1:9" x14ac:dyDescent="0.3">
      <c r="A30" s="17"/>
      <c r="B30" s="18"/>
      <c r="C30" s="18"/>
      <c r="D30" s="18"/>
      <c r="E30" s="18"/>
      <c r="F30" s="19"/>
      <c r="G30" s="18"/>
      <c r="H30" s="18"/>
      <c r="I30" s="18"/>
    </row>
    <row r="31" spans="1:9" ht="26.4" thickBot="1" x14ac:dyDescent="0.35"/>
    <row r="32" spans="1:9" ht="27" thickTop="1" thickBot="1" x14ac:dyDescent="0.35">
      <c r="E32" s="23" t="s">
        <v>54</v>
      </c>
      <c r="G32" s="23" t="s">
        <v>55</v>
      </c>
    </row>
    <row r="33" spans="5:8" ht="27" thickTop="1" thickBot="1" x14ac:dyDescent="0.35">
      <c r="E33" s="24">
        <f>SUM(E5:E32)</f>
        <v>23600</v>
      </c>
      <c r="F33" s="25"/>
      <c r="G33" s="24">
        <f>SUM(G5:G32)</f>
        <v>261.99</v>
      </c>
      <c r="H33" s="25"/>
    </row>
    <row r="34" spans="5:8" ht="26.4" thickTop="1" x14ac:dyDescent="0.3"/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306E-6CC1-814D-BC28-6CF2954CAEE4}">
  <dimension ref="B2:G163"/>
  <sheetViews>
    <sheetView topLeftCell="B151" zoomScale="145" zoomScaleNormal="145" zoomScaleSheetLayoutView="100" workbookViewId="0">
      <selection activeCell="B166" sqref="B166"/>
    </sheetView>
  </sheetViews>
  <sheetFormatPr defaultColWidth="9" defaultRowHeight="14.4" x14ac:dyDescent="0.3"/>
  <cols>
    <col min="1" max="1" width="9" style="1"/>
    <col min="2" max="2" width="33.109375" style="1" customWidth="1"/>
    <col min="3" max="3" width="18.109375" style="1" customWidth="1"/>
    <col min="4" max="4" width="22.77734375" style="1" customWidth="1"/>
    <col min="5" max="5" width="9" style="1"/>
    <col min="6" max="6" width="17.6640625" style="1" customWidth="1"/>
    <col min="7" max="7" width="33.44140625" style="1" customWidth="1"/>
    <col min="8" max="8" width="6.6640625" style="1" bestFit="1" customWidth="1"/>
    <col min="9" max="9" width="5.109375" style="1" bestFit="1" customWidth="1"/>
    <col min="10" max="16384" width="9" style="1"/>
  </cols>
  <sheetData>
    <row r="2" spans="2:7" x14ac:dyDescent="0.3">
      <c r="B2" s="10" t="s">
        <v>1</v>
      </c>
    </row>
    <row r="4" spans="2:7" x14ac:dyDescent="0.3">
      <c r="C4" s="2"/>
    </row>
    <row r="5" spans="2:7" x14ac:dyDescent="0.3">
      <c r="B5" s="3" t="s">
        <v>0</v>
      </c>
      <c r="C5" s="4"/>
      <c r="D5" s="3" t="s">
        <v>2</v>
      </c>
    </row>
    <row r="6" spans="2:7" x14ac:dyDescent="0.3">
      <c r="B6" s="3" t="s">
        <v>3</v>
      </c>
      <c r="C6" s="7">
        <v>70000</v>
      </c>
      <c r="D6" s="3"/>
      <c r="F6" s="1" t="s">
        <v>41</v>
      </c>
      <c r="G6" s="1">
        <v>8000</v>
      </c>
    </row>
    <row r="7" spans="2:7" x14ac:dyDescent="0.3">
      <c r="B7" s="3" t="s">
        <v>4</v>
      </c>
      <c r="C7" s="5">
        <v>4.32</v>
      </c>
      <c r="D7" s="3"/>
      <c r="F7" s="1" t="s">
        <v>49</v>
      </c>
      <c r="G7" s="15">
        <v>3.483E-3</v>
      </c>
    </row>
    <row r="8" spans="2:7" x14ac:dyDescent="0.3">
      <c r="B8" s="3" t="s">
        <v>7</v>
      </c>
      <c r="C8" s="5">
        <f>C9*100/C6</f>
        <v>1.1279999999999999</v>
      </c>
      <c r="D8" s="8">
        <f>C9*100/C6</f>
        <v>1.1279999999999999</v>
      </c>
      <c r="F8" s="1" t="s">
        <v>48</v>
      </c>
      <c r="G8" s="1">
        <f>G6*G7</f>
        <v>27.864000000000001</v>
      </c>
    </row>
    <row r="9" spans="2:7" x14ac:dyDescent="0.3">
      <c r="B9" s="3" t="s">
        <v>5</v>
      </c>
      <c r="C9" s="6">
        <v>789.6</v>
      </c>
      <c r="D9" s="3"/>
    </row>
    <row r="10" spans="2:7" x14ac:dyDescent="0.3">
      <c r="B10" s="3" t="s">
        <v>10</v>
      </c>
      <c r="C10" s="6">
        <f>C6*C8/100</f>
        <v>789.59999999999991</v>
      </c>
      <c r="D10" s="3"/>
    </row>
    <row r="11" spans="2:7" x14ac:dyDescent="0.3">
      <c r="B11" s="5" t="s">
        <v>14</v>
      </c>
      <c r="C11" s="6">
        <f>63000*C8/100</f>
        <v>710.64</v>
      </c>
      <c r="D11" s="3"/>
    </row>
    <row r="12" spans="2:7" x14ac:dyDescent="0.3">
      <c r="B12" s="5" t="s">
        <v>6</v>
      </c>
      <c r="C12" s="12">
        <f>7000*C8/100</f>
        <v>78.959999999999994</v>
      </c>
      <c r="D12" s="3"/>
    </row>
    <row r="13" spans="2:7" x14ac:dyDescent="0.3">
      <c r="B13" s="3" t="s">
        <v>8</v>
      </c>
      <c r="C13" s="6">
        <f>C11+C12</f>
        <v>789.6</v>
      </c>
      <c r="D13" s="3"/>
    </row>
    <row r="14" spans="2:7" x14ac:dyDescent="0.3">
      <c r="B14" s="3"/>
      <c r="C14" s="3"/>
      <c r="D14" s="3"/>
    </row>
    <row r="15" spans="2:7" x14ac:dyDescent="0.3">
      <c r="B15" s="3"/>
      <c r="C15" s="3"/>
      <c r="D15" s="3"/>
    </row>
    <row r="16" spans="2:7" x14ac:dyDescent="0.3">
      <c r="B16" s="3"/>
      <c r="C16" s="3"/>
      <c r="D16" s="3"/>
    </row>
    <row r="18" spans="2:4" x14ac:dyDescent="0.3">
      <c r="B18" s="10" t="s">
        <v>15</v>
      </c>
    </row>
    <row r="20" spans="2:4" x14ac:dyDescent="0.3">
      <c r="B20" s="29"/>
      <c r="C20" s="29"/>
      <c r="D20" s="29"/>
    </row>
    <row r="22" spans="2:4" x14ac:dyDescent="0.3">
      <c r="B22" s="10" t="s">
        <v>11</v>
      </c>
    </row>
    <row r="24" spans="2:4" x14ac:dyDescent="0.3">
      <c r="C24" s="2"/>
    </row>
    <row r="25" spans="2:4" x14ac:dyDescent="0.3">
      <c r="B25" s="3" t="s">
        <v>0</v>
      </c>
      <c r="C25" s="4"/>
      <c r="D25" s="3" t="s">
        <v>2</v>
      </c>
    </row>
    <row r="26" spans="2:4" x14ac:dyDescent="0.3">
      <c r="B26" s="3" t="s">
        <v>12</v>
      </c>
      <c r="C26" s="7">
        <v>147000</v>
      </c>
      <c r="D26" s="3"/>
    </row>
    <row r="27" spans="2:4" x14ac:dyDescent="0.3">
      <c r="B27" s="3" t="s">
        <v>4</v>
      </c>
      <c r="C27" s="5">
        <v>4.32</v>
      </c>
      <c r="D27" s="3"/>
    </row>
    <row r="28" spans="2:4" x14ac:dyDescent="0.3">
      <c r="B28" s="3" t="s">
        <v>7</v>
      </c>
      <c r="C28" s="5">
        <f>C29*100/C26</f>
        <v>0.3461700680272109</v>
      </c>
      <c r="D28" s="8">
        <f>C29*100/C26</f>
        <v>0.3461700680272109</v>
      </c>
    </row>
    <row r="29" spans="2:4" x14ac:dyDescent="0.3">
      <c r="B29" s="3" t="s">
        <v>5</v>
      </c>
      <c r="C29" s="6">
        <v>508.87</v>
      </c>
      <c r="D29" s="3"/>
    </row>
    <row r="30" spans="2:4" x14ac:dyDescent="0.3">
      <c r="B30" s="3" t="s">
        <v>10</v>
      </c>
      <c r="C30" s="6">
        <f>C26*C28/100</f>
        <v>508.87</v>
      </c>
      <c r="D30" s="3"/>
    </row>
    <row r="31" spans="2:4" x14ac:dyDescent="0.3">
      <c r="B31" s="5" t="s">
        <v>13</v>
      </c>
      <c r="C31" s="6">
        <f>146000*C28/100</f>
        <v>505.40829931972786</v>
      </c>
      <c r="D31" s="3"/>
    </row>
    <row r="32" spans="2:4" x14ac:dyDescent="0.3">
      <c r="B32" s="5" t="s">
        <v>9</v>
      </c>
      <c r="C32" s="12">
        <f>1000*C28/100</f>
        <v>3.4617006802721089</v>
      </c>
      <c r="D32" s="3"/>
    </row>
    <row r="33" spans="2:4" x14ac:dyDescent="0.3">
      <c r="B33" s="3" t="s">
        <v>8</v>
      </c>
      <c r="C33" s="6">
        <f>C31+C32</f>
        <v>508.86999999999995</v>
      </c>
      <c r="D33" s="3"/>
    </row>
    <row r="34" spans="2:4" x14ac:dyDescent="0.3">
      <c r="B34" s="3"/>
      <c r="C34" s="3"/>
      <c r="D34" s="3"/>
    </row>
    <row r="35" spans="2:4" x14ac:dyDescent="0.3">
      <c r="B35" s="3"/>
      <c r="C35" s="3"/>
      <c r="D35" s="3"/>
    </row>
    <row r="36" spans="2:4" x14ac:dyDescent="0.3">
      <c r="B36" s="3"/>
      <c r="C36" s="3"/>
      <c r="D36" s="3"/>
    </row>
    <row r="39" spans="2:4" x14ac:dyDescent="0.3">
      <c r="B39" s="10" t="s">
        <v>15</v>
      </c>
      <c r="C39" s="9"/>
    </row>
    <row r="41" spans="2:4" x14ac:dyDescent="0.3">
      <c r="B41" s="29"/>
      <c r="C41" s="29"/>
      <c r="D41" s="29"/>
    </row>
    <row r="43" spans="2:4" x14ac:dyDescent="0.3">
      <c r="B43" s="10" t="s">
        <v>16</v>
      </c>
    </row>
    <row r="45" spans="2:4" x14ac:dyDescent="0.3">
      <c r="C45" s="2"/>
    </row>
    <row r="46" spans="2:4" x14ac:dyDescent="0.3">
      <c r="B46" s="3" t="s">
        <v>0</v>
      </c>
      <c r="C46" s="4"/>
      <c r="D46" s="3" t="s">
        <v>2</v>
      </c>
    </row>
    <row r="47" spans="2:4" x14ac:dyDescent="0.3">
      <c r="B47" s="11" t="s">
        <v>17</v>
      </c>
      <c r="C47" s="7">
        <v>27000</v>
      </c>
      <c r="D47" s="3"/>
    </row>
    <row r="48" spans="2:4" x14ac:dyDescent="0.3">
      <c r="B48" s="3" t="s">
        <v>4</v>
      </c>
      <c r="C48" s="5">
        <v>3.8</v>
      </c>
      <c r="D48" s="3"/>
    </row>
    <row r="49" spans="2:4" x14ac:dyDescent="0.3">
      <c r="B49" s="3" t="s">
        <v>7</v>
      </c>
      <c r="C49" s="5">
        <f>C50*100/C47</f>
        <v>0.32722222222222225</v>
      </c>
      <c r="D49" s="8">
        <f>C50*100/C47</f>
        <v>0.32722222222222225</v>
      </c>
    </row>
    <row r="50" spans="2:4" x14ac:dyDescent="0.3">
      <c r="B50" s="3" t="s">
        <v>5</v>
      </c>
      <c r="C50" s="6">
        <v>88.35</v>
      </c>
      <c r="D50" s="3"/>
    </row>
    <row r="51" spans="2:4" x14ac:dyDescent="0.3">
      <c r="B51" s="3" t="s">
        <v>10</v>
      </c>
      <c r="C51" s="6">
        <f>C47*C49/100</f>
        <v>88.35</v>
      </c>
      <c r="D51" s="3"/>
    </row>
    <row r="52" spans="2:4" x14ac:dyDescent="0.3">
      <c r="B52" s="11" t="s">
        <v>19</v>
      </c>
      <c r="C52" s="6">
        <f>22000*C49/100</f>
        <v>71.988888888888894</v>
      </c>
      <c r="D52" s="3"/>
    </row>
    <row r="53" spans="2:4" x14ac:dyDescent="0.3">
      <c r="B53" s="11" t="s">
        <v>18</v>
      </c>
      <c r="C53" s="6">
        <f>5000*C49/100</f>
        <v>16.361111111111114</v>
      </c>
      <c r="D53" s="3"/>
    </row>
    <row r="54" spans="2:4" x14ac:dyDescent="0.3">
      <c r="B54" s="3" t="s">
        <v>8</v>
      </c>
      <c r="C54" s="6">
        <f>C52+C53</f>
        <v>88.350000000000009</v>
      </c>
      <c r="D54" s="3"/>
    </row>
    <row r="55" spans="2:4" x14ac:dyDescent="0.3">
      <c r="B55" s="3"/>
      <c r="C55" s="3"/>
      <c r="D55" s="3"/>
    </row>
    <row r="56" spans="2:4" x14ac:dyDescent="0.3">
      <c r="B56" s="3"/>
      <c r="C56" s="3"/>
      <c r="D56" s="3"/>
    </row>
    <row r="57" spans="2:4" x14ac:dyDescent="0.3">
      <c r="B57" s="3"/>
      <c r="C57" s="3"/>
      <c r="D57" s="3"/>
    </row>
    <row r="60" spans="2:4" x14ac:dyDescent="0.3">
      <c r="B60" s="10" t="s">
        <v>15</v>
      </c>
      <c r="C60" s="9"/>
    </row>
    <row r="62" spans="2:4" x14ac:dyDescent="0.3">
      <c r="B62" s="29"/>
      <c r="C62" s="29"/>
      <c r="D62" s="29"/>
    </row>
    <row r="66" spans="2:4" x14ac:dyDescent="0.3">
      <c r="B66" s="10" t="s">
        <v>22</v>
      </c>
    </row>
    <row r="68" spans="2:4" x14ac:dyDescent="0.3">
      <c r="C68" s="2"/>
    </row>
    <row r="69" spans="2:4" x14ac:dyDescent="0.3">
      <c r="B69" s="3" t="s">
        <v>0</v>
      </c>
      <c r="C69" s="4"/>
      <c r="D69" s="3" t="s">
        <v>2</v>
      </c>
    </row>
    <row r="70" spans="2:4" x14ac:dyDescent="0.3">
      <c r="B70" s="11" t="s">
        <v>17</v>
      </c>
      <c r="C70" s="7">
        <v>211000</v>
      </c>
      <c r="D70" s="3"/>
    </row>
    <row r="71" spans="2:4" x14ac:dyDescent="0.3">
      <c r="B71" s="3" t="s">
        <v>4</v>
      </c>
      <c r="C71" s="5">
        <v>3.8</v>
      </c>
      <c r="D71" s="3"/>
    </row>
    <row r="72" spans="2:4" x14ac:dyDescent="0.3">
      <c r="B72" s="3" t="s">
        <v>7</v>
      </c>
      <c r="C72" s="5">
        <f>C73*100/C70</f>
        <v>0.32722274881516589</v>
      </c>
      <c r="D72" s="8">
        <f>C73*100/C70</f>
        <v>0.32722274881516589</v>
      </c>
    </row>
    <row r="73" spans="2:4" x14ac:dyDescent="0.3">
      <c r="B73" s="3" t="s">
        <v>5</v>
      </c>
      <c r="C73" s="6">
        <v>690.44</v>
      </c>
      <c r="D73" s="3"/>
    </row>
    <row r="74" spans="2:4" x14ac:dyDescent="0.3">
      <c r="B74" s="3" t="s">
        <v>10</v>
      </c>
      <c r="C74" s="6">
        <f>C70*C72/100</f>
        <v>690.44</v>
      </c>
      <c r="D74" s="3"/>
    </row>
    <row r="75" spans="2:4" x14ac:dyDescent="0.3">
      <c r="B75" s="11" t="s">
        <v>24</v>
      </c>
      <c r="C75" s="6">
        <f>205000*C72/100</f>
        <v>670.80663507109011</v>
      </c>
      <c r="D75" s="3"/>
    </row>
    <row r="76" spans="2:4" x14ac:dyDescent="0.3">
      <c r="B76" s="11" t="s">
        <v>23</v>
      </c>
      <c r="C76" s="6">
        <f>6000*C72/100</f>
        <v>19.633364928909952</v>
      </c>
      <c r="D76" s="3"/>
    </row>
    <row r="77" spans="2:4" x14ac:dyDescent="0.3">
      <c r="B77" s="3" t="s">
        <v>8</v>
      </c>
      <c r="C77" s="6">
        <f>C75+C76</f>
        <v>690.44</v>
      </c>
      <c r="D77" s="3"/>
    </row>
    <row r="78" spans="2:4" x14ac:dyDescent="0.3">
      <c r="B78" s="3"/>
      <c r="C78" s="3"/>
      <c r="D78" s="3"/>
    </row>
    <row r="79" spans="2:4" x14ac:dyDescent="0.3">
      <c r="B79" s="3"/>
      <c r="C79" s="3"/>
      <c r="D79" s="3"/>
    </row>
    <row r="80" spans="2:4" x14ac:dyDescent="0.3">
      <c r="B80" s="3"/>
      <c r="C80" s="3"/>
      <c r="D80" s="3"/>
    </row>
    <row r="83" spans="2:4" x14ac:dyDescent="0.3">
      <c r="B83" s="10" t="s">
        <v>15</v>
      </c>
      <c r="C83" s="9"/>
    </row>
    <row r="85" spans="2:4" x14ac:dyDescent="0.3">
      <c r="B85" s="29"/>
      <c r="C85" s="29"/>
      <c r="D85" s="29"/>
    </row>
    <row r="87" spans="2:4" x14ac:dyDescent="0.3">
      <c r="B87" s="10" t="s">
        <v>25</v>
      </c>
    </row>
    <row r="89" spans="2:4" x14ac:dyDescent="0.3">
      <c r="C89" s="2"/>
    </row>
    <row r="90" spans="2:4" x14ac:dyDescent="0.3">
      <c r="B90" s="3" t="s">
        <v>0</v>
      </c>
      <c r="C90" s="4"/>
      <c r="D90" s="3" t="s">
        <v>2</v>
      </c>
    </row>
    <row r="91" spans="2:4" x14ac:dyDescent="0.3">
      <c r="B91" s="11" t="s">
        <v>26</v>
      </c>
      <c r="C91" s="7">
        <v>250000</v>
      </c>
      <c r="D91" s="3"/>
    </row>
    <row r="92" spans="2:4" x14ac:dyDescent="0.3">
      <c r="B92" s="3" t="s">
        <v>4</v>
      </c>
      <c r="C92" s="5">
        <v>3.8</v>
      </c>
      <c r="D92" s="3"/>
    </row>
    <row r="93" spans="2:4" x14ac:dyDescent="0.3">
      <c r="B93" s="3" t="s">
        <v>7</v>
      </c>
      <c r="C93" s="5">
        <f>C94*100/C91</f>
        <v>0.29555599999999999</v>
      </c>
      <c r="D93" s="8">
        <f>C94*100/C91</f>
        <v>0.29555599999999999</v>
      </c>
    </row>
    <row r="94" spans="2:4" x14ac:dyDescent="0.3">
      <c r="B94" s="3" t="s">
        <v>5</v>
      </c>
      <c r="C94" s="6">
        <v>738.89</v>
      </c>
      <c r="D94" s="3"/>
    </row>
    <row r="95" spans="2:4" x14ac:dyDescent="0.3">
      <c r="B95" s="3" t="s">
        <v>10</v>
      </c>
      <c r="C95" s="6">
        <f>C91*C93/100</f>
        <v>738.89</v>
      </c>
      <c r="D95" s="3"/>
    </row>
    <row r="96" spans="2:4" x14ac:dyDescent="0.3">
      <c r="B96" s="11" t="s">
        <v>27</v>
      </c>
      <c r="C96" s="6"/>
      <c r="D96" s="3"/>
    </row>
    <row r="97" spans="2:4" x14ac:dyDescent="0.3">
      <c r="B97" s="11" t="s">
        <v>6</v>
      </c>
      <c r="C97" s="6">
        <f>7000*C93/100</f>
        <v>20.68892</v>
      </c>
      <c r="D97" s="3"/>
    </row>
    <row r="98" spans="2:4" x14ac:dyDescent="0.3">
      <c r="B98" s="3" t="s">
        <v>8</v>
      </c>
      <c r="C98" s="6">
        <f>C96+C97</f>
        <v>20.68892</v>
      </c>
      <c r="D98" s="3"/>
    </row>
    <row r="99" spans="2:4" x14ac:dyDescent="0.3">
      <c r="B99" s="3"/>
      <c r="C99" s="3"/>
      <c r="D99" s="3"/>
    </row>
    <row r="100" spans="2:4" x14ac:dyDescent="0.3">
      <c r="B100" s="3"/>
      <c r="C100" s="3"/>
      <c r="D100" s="3"/>
    </row>
    <row r="101" spans="2:4" x14ac:dyDescent="0.3">
      <c r="B101" s="3"/>
      <c r="C101" s="3"/>
      <c r="D101" s="3"/>
    </row>
    <row r="104" spans="2:4" x14ac:dyDescent="0.3">
      <c r="B104" s="10" t="s">
        <v>15</v>
      </c>
      <c r="C104" s="9">
        <f>7000*D93/100</f>
        <v>20.68892</v>
      </c>
    </row>
    <row r="106" spans="2:4" x14ac:dyDescent="0.3">
      <c r="B106" s="29"/>
      <c r="C106" s="29"/>
      <c r="D106" s="29"/>
    </row>
    <row r="108" spans="2:4" x14ac:dyDescent="0.3">
      <c r="B108" s="10" t="s">
        <v>69</v>
      </c>
    </row>
    <row r="110" spans="2:4" x14ac:dyDescent="0.3">
      <c r="B110" s="3" t="s">
        <v>0</v>
      </c>
      <c r="C110" s="4"/>
      <c r="D110" s="3" t="s">
        <v>2</v>
      </c>
    </row>
    <row r="111" spans="2:4" x14ac:dyDescent="0.3">
      <c r="B111" s="11" t="s">
        <v>29</v>
      </c>
      <c r="C111" s="7">
        <v>260000</v>
      </c>
      <c r="D111" s="3"/>
    </row>
    <row r="112" spans="2:4" x14ac:dyDescent="0.3">
      <c r="B112" s="3" t="s">
        <v>4</v>
      </c>
      <c r="C112" s="5">
        <v>3.8</v>
      </c>
      <c r="D112" s="3"/>
    </row>
    <row r="113" spans="2:4" x14ac:dyDescent="0.3">
      <c r="B113" s="3" t="s">
        <v>7</v>
      </c>
      <c r="C113" s="5">
        <f>C114*100/C111</f>
        <v>0.34833461538461541</v>
      </c>
      <c r="D113" s="8">
        <f>C114*100/C111</f>
        <v>0.34833461538461541</v>
      </c>
    </row>
    <row r="114" spans="2:4" x14ac:dyDescent="0.3">
      <c r="B114" s="3" t="s">
        <v>5</v>
      </c>
      <c r="C114" s="13">
        <v>905.67</v>
      </c>
      <c r="D114" s="3"/>
    </row>
    <row r="115" spans="2:4" x14ac:dyDescent="0.3">
      <c r="B115" s="3" t="s">
        <v>10</v>
      </c>
      <c r="C115" s="13">
        <f>C111*C113/100</f>
        <v>905.67</v>
      </c>
      <c r="D115" s="3"/>
    </row>
    <row r="116" spans="2:4" x14ac:dyDescent="0.3">
      <c r="B116" s="11" t="s">
        <v>30</v>
      </c>
      <c r="C116" s="6"/>
      <c r="D116" s="3"/>
    </row>
    <row r="117" spans="2:4" x14ac:dyDescent="0.3">
      <c r="B117" s="11" t="s">
        <v>31</v>
      </c>
      <c r="C117" s="6">
        <f>8000*C113/100</f>
        <v>27.866769230769233</v>
      </c>
      <c r="D117" s="3"/>
    </row>
    <row r="118" spans="2:4" x14ac:dyDescent="0.3">
      <c r="B118" s="3" t="s">
        <v>8</v>
      </c>
      <c r="C118" s="6">
        <f>C116+C117</f>
        <v>27.866769230769233</v>
      </c>
      <c r="D118" s="3"/>
    </row>
    <row r="119" spans="2:4" x14ac:dyDescent="0.3">
      <c r="B119" s="3"/>
      <c r="C119" s="3"/>
      <c r="D119" s="3"/>
    </row>
    <row r="120" spans="2:4" x14ac:dyDescent="0.3">
      <c r="B120" s="3"/>
      <c r="C120" s="3"/>
      <c r="D120" s="3"/>
    </row>
    <row r="121" spans="2:4" x14ac:dyDescent="0.3">
      <c r="B121" s="3"/>
      <c r="C121" s="3"/>
      <c r="D121" s="3"/>
    </row>
    <row r="124" spans="2:4" x14ac:dyDescent="0.3">
      <c r="B124" s="10" t="s">
        <v>15</v>
      </c>
      <c r="C124" s="9"/>
    </row>
    <row r="126" spans="2:4" x14ac:dyDescent="0.3">
      <c r="B126" s="29"/>
      <c r="C126" s="29"/>
      <c r="D126" s="29"/>
    </row>
    <row r="128" spans="2:4" x14ac:dyDescent="0.3">
      <c r="B128" s="10" t="s">
        <v>70</v>
      </c>
    </row>
    <row r="130" spans="2:4" x14ac:dyDescent="0.3">
      <c r="B130" s="3" t="s">
        <v>0</v>
      </c>
      <c r="C130" s="4"/>
      <c r="D130" s="3" t="s">
        <v>2</v>
      </c>
    </row>
    <row r="131" spans="2:4" x14ac:dyDescent="0.3">
      <c r="B131" s="14" t="s">
        <v>35</v>
      </c>
      <c r="C131" s="7">
        <v>950000</v>
      </c>
      <c r="D131" s="3"/>
    </row>
    <row r="132" spans="2:4" x14ac:dyDescent="0.3">
      <c r="B132" s="3" t="s">
        <v>4</v>
      </c>
      <c r="C132" s="5">
        <v>3.8</v>
      </c>
      <c r="D132" s="3"/>
    </row>
    <row r="133" spans="2:4" x14ac:dyDescent="0.3">
      <c r="B133" s="3" t="s">
        <v>7</v>
      </c>
      <c r="C133" s="5">
        <f>C134*100/C131</f>
        <v>0.95577789473684216</v>
      </c>
      <c r="D133" s="8">
        <f>C134*100/C131</f>
        <v>0.95577789473684216</v>
      </c>
    </row>
    <row r="134" spans="2:4" x14ac:dyDescent="0.3">
      <c r="B134" s="3" t="s">
        <v>5</v>
      </c>
      <c r="C134" s="13">
        <v>9079.89</v>
      </c>
      <c r="D134" s="3"/>
    </row>
    <row r="135" spans="2:4" x14ac:dyDescent="0.3">
      <c r="B135" s="3" t="s">
        <v>10</v>
      </c>
      <c r="C135" s="13">
        <f>C131*C133/100</f>
        <v>9079.89</v>
      </c>
      <c r="D135" s="3"/>
    </row>
    <row r="136" spans="2:4" x14ac:dyDescent="0.3">
      <c r="B136" s="11" t="s">
        <v>36</v>
      </c>
      <c r="C136" s="6">
        <f>941000*C133/100</f>
        <v>8993.8699894736856</v>
      </c>
      <c r="D136" s="3"/>
    </row>
    <row r="137" spans="2:4" x14ac:dyDescent="0.3">
      <c r="B137" s="11" t="s">
        <v>37</v>
      </c>
      <c r="C137" s="6">
        <f>9000*C133/100</f>
        <v>86.020010526315801</v>
      </c>
      <c r="D137" s="3"/>
    </row>
    <row r="138" spans="2:4" x14ac:dyDescent="0.3">
      <c r="B138" s="3" t="s">
        <v>8</v>
      </c>
      <c r="C138" s="6">
        <f>C136+C137</f>
        <v>9079.8900000000012</v>
      </c>
      <c r="D138" s="3"/>
    </row>
    <row r="139" spans="2:4" x14ac:dyDescent="0.3">
      <c r="B139" s="3"/>
      <c r="C139" s="3"/>
      <c r="D139" s="3"/>
    </row>
    <row r="140" spans="2:4" x14ac:dyDescent="0.3">
      <c r="B140" s="3"/>
      <c r="C140" s="3"/>
      <c r="D140" s="3"/>
    </row>
    <row r="141" spans="2:4" x14ac:dyDescent="0.3">
      <c r="B141" s="3"/>
      <c r="C141" s="3"/>
      <c r="D141" s="3"/>
    </row>
    <row r="143" spans="2:4" x14ac:dyDescent="0.3">
      <c r="B143" s="10" t="s">
        <v>15</v>
      </c>
    </row>
    <row r="145" spans="2:4" x14ac:dyDescent="0.3">
      <c r="B145" s="29"/>
      <c r="C145" s="29"/>
      <c r="D145" s="29"/>
    </row>
    <row r="147" spans="2:4" x14ac:dyDescent="0.3">
      <c r="B147" s="10" t="s">
        <v>71</v>
      </c>
    </row>
    <row r="149" spans="2:4" x14ac:dyDescent="0.3">
      <c r="B149" s="3" t="s">
        <v>0</v>
      </c>
      <c r="C149" s="4"/>
      <c r="D149" s="3" t="s">
        <v>2</v>
      </c>
    </row>
    <row r="150" spans="2:4" x14ac:dyDescent="0.3">
      <c r="B150" s="14" t="s">
        <v>66</v>
      </c>
      <c r="C150" s="7">
        <v>950000</v>
      </c>
      <c r="D150" s="8" t="s">
        <v>38</v>
      </c>
    </row>
    <row r="151" spans="2:4" x14ac:dyDescent="0.3">
      <c r="B151" s="3" t="s">
        <v>4</v>
      </c>
      <c r="C151" s="5">
        <v>3.8</v>
      </c>
      <c r="D151" s="3"/>
    </row>
    <row r="152" spans="2:4" x14ac:dyDescent="0.3">
      <c r="B152" s="3" t="s">
        <v>7</v>
      </c>
      <c r="C152" s="5">
        <f>C153*100/C150</f>
        <v>0</v>
      </c>
      <c r="D152" s="8">
        <f>C153*100/C150</f>
        <v>0</v>
      </c>
    </row>
    <row r="153" spans="2:4" x14ac:dyDescent="0.3">
      <c r="B153" s="3" t="s">
        <v>5</v>
      </c>
      <c r="C153" s="13"/>
      <c r="D153" s="3"/>
    </row>
    <row r="154" spans="2:4" x14ac:dyDescent="0.3">
      <c r="B154" s="3" t="s">
        <v>10</v>
      </c>
      <c r="C154" s="13">
        <f>C150*C152/100</f>
        <v>0</v>
      </c>
      <c r="D154" s="3"/>
    </row>
    <row r="155" spans="2:4" x14ac:dyDescent="0.3">
      <c r="B155" s="11" t="s">
        <v>68</v>
      </c>
      <c r="C155" s="6">
        <f>941000*C152/100</f>
        <v>0</v>
      </c>
      <c r="D155" s="3"/>
    </row>
    <row r="156" spans="2:4" x14ac:dyDescent="0.3">
      <c r="B156" s="11" t="s">
        <v>67</v>
      </c>
      <c r="C156" s="6">
        <f>9000*C152/100</f>
        <v>0</v>
      </c>
      <c r="D156" s="3"/>
    </row>
    <row r="157" spans="2:4" x14ac:dyDescent="0.3">
      <c r="B157" s="3" t="s">
        <v>8</v>
      </c>
      <c r="C157" s="6">
        <f>C155+C156</f>
        <v>0</v>
      </c>
      <c r="D157" s="3"/>
    </row>
    <row r="158" spans="2:4" x14ac:dyDescent="0.3">
      <c r="B158" s="3"/>
      <c r="C158" s="3"/>
      <c r="D158" s="3"/>
    </row>
    <row r="159" spans="2:4" x14ac:dyDescent="0.3">
      <c r="B159" s="3"/>
      <c r="C159" s="3"/>
      <c r="D159" s="3"/>
    </row>
    <row r="160" spans="2:4" x14ac:dyDescent="0.3">
      <c r="B160" s="3"/>
      <c r="C160" s="3"/>
      <c r="D160" s="3"/>
    </row>
    <row r="163" spans="2:2" x14ac:dyDescent="0.3">
      <c r="B163" s="30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استثمار روان</vt:lpstr>
      <vt:lpstr>التفاصيل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Al-Moghalliq, Hussain</dc:creator>
  <cp:lastModifiedBy>Hussain Almoghalliq</cp:lastModifiedBy>
  <dcterms:created xsi:type="dcterms:W3CDTF">2016-02-24T06:27:50Z</dcterms:created>
  <dcterms:modified xsi:type="dcterms:W3CDTF">2026-08-30T10:57:10Z</dcterms:modified>
</cp:coreProperties>
</file>